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elVillamizar\ContabilidadLAMAMedellin\src\Server\Data\"/>
    </mc:Choice>
  </mc:AlternateContent>
  <xr:revisionPtr revIDLastSave="0" documentId="13_ncr:1_{C67CA766-5213-49C5-911F-BD3EB6100FF5}" xr6:coauthVersionLast="47" xr6:coauthVersionMax="47" xr10:uidLastSave="{00000000-0000-0000-0000-000000000000}"/>
  <bookViews>
    <workbookView xWindow="16640" yWindow="0" windowWidth="28800" windowHeight="15450" xr2:uid="{00000000-000D-0000-FFFF-FFFF00000000}"/>
  </bookViews>
  <sheets>
    <sheet name="ENERO A DICIEMBRE 2025" sheetId="2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4" i="20" l="1"/>
  <c r="C194" i="20"/>
  <c r="D194" i="20"/>
  <c r="C61" i="20"/>
</calcChain>
</file>

<file path=xl/sharedStrings.xml><?xml version="1.0" encoding="utf-8"?>
<sst xmlns="http://schemas.openxmlformats.org/spreadsheetml/2006/main" count="198" uniqueCount="195">
  <si>
    <t>FECHA</t>
  </si>
  <si>
    <t>CONCEPTO</t>
  </si>
  <si>
    <t xml:space="preserve">INGRESOS </t>
  </si>
  <si>
    <t xml:space="preserve">EGRESOS </t>
  </si>
  <si>
    <t>PAGO MENSUALIDAD MARIO JIMENEZ</t>
  </si>
  <si>
    <t xml:space="preserve">SILLAS Y MESAS TRANSPORTES GASTOS  PARA ANIVERSARIO </t>
  </si>
  <si>
    <t>COMPRA DE PARCHES INTERNACIONALES</t>
  </si>
  <si>
    <t xml:space="preserve">PAGO  TRASNPORTADORA  POR ENVIO PARCHES </t>
  </si>
  <si>
    <t>PAGO PARCHES MOVIE ARZUZA</t>
  </si>
  <si>
    <t>PAGO DE MENSUALIDAD ANGELA</t>
  </si>
  <si>
    <t>PAGO MENSUALIDAD MOVIE</t>
  </si>
  <si>
    <t>COMPRA 5 RECORDATORIOS   3 ARGENTINA 1 BUGA 1 PEREIRA</t>
  </si>
  <si>
    <t>PAGO HECTOR MENSUALIDAD  E INSCRPCION 2025</t>
  </si>
  <si>
    <t xml:space="preserve">PAGO ANGELA PARCHES  </t>
  </si>
  <si>
    <t>MENSUALIDAD CAMILO ORTEGON</t>
  </si>
  <si>
    <t>MENSUALIDAD CARLOS ANDRES PERES</t>
  </si>
  <si>
    <t xml:space="preserve">FIESTA FIN DE AÑO </t>
  </si>
  <si>
    <t>PAGO MENSUALIDAD EDINSON OSPINA</t>
  </si>
  <si>
    <t xml:space="preserve">PAGO MENSUALIDAD JHON HARVEY </t>
  </si>
  <si>
    <t>PAGO MENSUALIDAD CARLOS MARIO CEBALLOS</t>
  </si>
  <si>
    <t>PAGO A RAMON USO DE SALON  ASAMBLEA DE ENERO</t>
  </si>
  <si>
    <t>PAGO MENSUALIDAD CESAR RODRIGUEZ</t>
  </si>
  <si>
    <t>PAGO MENSUALIDAD ROBINSON GALVIS</t>
  </si>
  <si>
    <t>PAGO MENSUALIDAD JUAN ESTEBAN SUAREZ</t>
  </si>
  <si>
    <t>PAGO MENSUALIDAD E INSCRIPCION  GIRLESA  BUITRAGO</t>
  </si>
  <si>
    <t>PAGO MEMBRESIA RAMON GONZALES</t>
  </si>
  <si>
    <t xml:space="preserve">PAGO MENSUALIDAD  ENERO 2025 Y MEMBRESIA DANIEL </t>
  </si>
  <si>
    <t>RECAUDO CUOTA DE FIESTA   FIN DE AÑO</t>
  </si>
  <si>
    <t>PAGO MEMBRESIA  ESPOSA DE DANIEL VILLAMIZAR</t>
  </si>
  <si>
    <t>PAGO MENSUALIDAD  FEB- DIC  DANIEL  VILLAMIZAR</t>
  </si>
  <si>
    <t xml:space="preserve">PAGO MEMBRESIA JHON ARZUZA </t>
  </si>
  <si>
    <t>PAGO MEMBRESIA  CARLOS JULIO MOVIE</t>
  </si>
  <si>
    <t>PAGO  MEMBRESIA Y MENSUAIDAD ENERO  ANGELA MARIA</t>
  </si>
  <si>
    <t xml:space="preserve"> PAGO MEMBRESIA  MARIO JIMENEZ</t>
  </si>
  <si>
    <t>PAGO MEMBRESIA JHON DAVID SANCHEZ TIIN</t>
  </si>
  <si>
    <t>PAGO MEMBRESIA JHON JARVEY</t>
  </si>
  <si>
    <t>PAGO MEMBRESIA CAMILO ORTEGON</t>
  </si>
  <si>
    <t>PAGO MEMBRESIA YEFERSON USUGA</t>
  </si>
  <si>
    <t>PAGO  MEMBRESIA JEFERSON MONTOYA</t>
  </si>
  <si>
    <t xml:space="preserve">PAGO MENSUALIDAD ENERO GIRLESA </t>
  </si>
  <si>
    <t>PAGO  MEMBRESIA Y MENSUALIDAD ENE- DIC  CARLOS ARAQUE</t>
  </si>
  <si>
    <t>PAGO  MEMBRESIA Y MENSUALIDAD ENE- JUNIO   CAPA</t>
  </si>
  <si>
    <t>PAGO MEMBRESIA JOSE EDINSON  OSPINA</t>
  </si>
  <si>
    <t>PAGO MEMBRESIA    ROBINSON GALVEZ</t>
  </si>
  <si>
    <t xml:space="preserve">COMPRA MUESTRA RECONOCIMIENTO </t>
  </si>
  <si>
    <t>COMPRA DE MEMBRESIAS</t>
  </si>
  <si>
    <t>PAGO TRASNPORTADORA MEMBRESIAS</t>
  </si>
  <si>
    <t>PAGO ALQUILER DE FINCA FIESTA FIN DE AÑO</t>
  </si>
  <si>
    <t>COMPRA 5 RECORDATORIOS</t>
  </si>
  <si>
    <t>PAGO DE PARCHES DANIEL VILLAMIZAR</t>
  </si>
  <si>
    <t>PAGO MENSUALIDAD FEBRERO ANGELA</t>
  </si>
  <si>
    <t>PAGO MEMBRESIA MILTON GOMEZ</t>
  </si>
  <si>
    <r>
      <t xml:space="preserve">VENTA 165 DOLARES 25/03 A </t>
    </r>
    <r>
      <rPr>
        <b/>
        <sz val="11"/>
        <color rgb="FF000000"/>
        <rFont val="Calibri"/>
        <family val="2"/>
        <scheme val="minor"/>
      </rPr>
      <t>3,970</t>
    </r>
  </si>
  <si>
    <t>VENTA 8 CAMISETAS</t>
  </si>
  <si>
    <t>VENTA 1 BUFF</t>
  </si>
  <si>
    <t>PAGO TRANSPORTADORA INTERRAPIDISIMO</t>
  </si>
  <si>
    <t>COMPRA TORTA CUMPLEAÑOS TRIMESTRE</t>
  </si>
  <si>
    <t>Pago - Recordatorio Parches</t>
  </si>
  <si>
    <t>Abono Banquete</t>
  </si>
  <si>
    <t>Abono Jersy's</t>
  </si>
  <si>
    <t>Inscripciones Pagas - Julio</t>
  </si>
  <si>
    <t>Abono Banquete #2</t>
  </si>
  <si>
    <t xml:space="preserve">Reconocimientos Visitantes </t>
  </si>
  <si>
    <t>Reintegro Pagos - Efectivo</t>
  </si>
  <si>
    <t>Cancelación Total Banquete</t>
  </si>
  <si>
    <t>Pago Veracruz Estéreo</t>
  </si>
  <si>
    <t>Inscripciones Efectivo - Agosto 4</t>
  </si>
  <si>
    <t>Devolución Jersey's</t>
  </si>
  <si>
    <t>Inscripciones Pagas, Jersey's, Donaciones - Agosto</t>
  </si>
  <si>
    <t>Venta Parches LAMA</t>
  </si>
  <si>
    <t>Venta Jersey's LAMA</t>
  </si>
  <si>
    <t>Consignaciones - Inscripciones</t>
  </si>
  <si>
    <t>Intereses corrientes - Cuenta Ahorros</t>
  </si>
  <si>
    <t>Pago renovación Membresia Internacional ANGELA MARIA RODRIGUEZ</t>
  </si>
  <si>
    <t>Pago renovación Membresia Internacional CARLOS ALBERTO ARAQUE BETANCUR</t>
  </si>
  <si>
    <t>Pago renovación Membresia Internacional DANIEL  VILLAMIZAR</t>
  </si>
  <si>
    <t>Pago renovación Membresia Internacional CESAR LEONEL RODRIGUEZ GALAN</t>
  </si>
  <si>
    <t>Pago renovación Membresia Internacional RAMÓN ANTONIO GONZALEZ CASTAÑO</t>
  </si>
  <si>
    <t>Pago renovación Membresia Internacional ROBINSON GALVIS</t>
  </si>
  <si>
    <t>Pago renovación Membresia Internacional GIRLESA MARÍA BUITRAGO</t>
  </si>
  <si>
    <t>Pago renovación Membresia Internacional JHON JARVEY GÓMEZ PATIÑO</t>
  </si>
  <si>
    <t>Pago renovación Membresia Internacional JOSÉ EDINSON OSPINA CRUZ</t>
  </si>
  <si>
    <t>Pago renovación Membresia Internacional CARLOS MARIO CEBALLOS</t>
  </si>
  <si>
    <t>Pago renovación Membresia Internacional JOSE JULIAN VILLAMIZAR ARAQUE</t>
  </si>
  <si>
    <t>Pago renovación Membresia Internacional JHON ENMANUEL ARZUZA PÁEZ</t>
  </si>
  <si>
    <t>Pago renovación Membresia Internacional JENNIFER  ANDREA CARDONA BENITEZ</t>
  </si>
  <si>
    <t>Pago renovación Membresia Internacional WILLIAM HUMBERTO JIMENEZ PEREZ</t>
  </si>
  <si>
    <t>Pago renovación Membresia Internacional YEFERSON USUGA</t>
  </si>
  <si>
    <t>Pago renovación Membresia Internacional JEFFERSON MONTOYA MUÑOZ</t>
  </si>
  <si>
    <t>Pago renovación Membresia Internacional JHON DAVID SANCHEZ</t>
  </si>
  <si>
    <t>Pago renovación Membresia Internacional MILTON  DARIO GOMEZ RIVERA</t>
  </si>
  <si>
    <t>Pago renovación Membresia Internacional CARLOS MARIO DIAZ DIAZ</t>
  </si>
  <si>
    <t>Pago renovación Membresia Internacional LAURA VIVIAN ASALAZAR MORENO</t>
  </si>
  <si>
    <t>Pago renovación Membresia Internacional GUSTAVO ADOLFO GOMEZ ZULUAGA</t>
  </si>
  <si>
    <t>Pago renovación Membresia Internacional NELSON AUGUSTO MONTOYA MATAUTE</t>
  </si>
  <si>
    <t>Pago renovación Membresia Internacional HECTOR MARIO GONZALEZ HENAO</t>
  </si>
  <si>
    <t>Pago renovación Membresia Internacional ARLEX BETANCUR</t>
  </si>
  <si>
    <t>Pago Mensualidades Capítulo CESAR LEONEL RODRIGUEZ GALAN</t>
  </si>
  <si>
    <t>Pago Mensualidades Capítulo ROBINSON GALVIS</t>
  </si>
  <si>
    <t>Pago Mensualidades Capítulo GIRLESA MARÍA BUITRAGO</t>
  </si>
  <si>
    <t>Pago Mensualidades Capítulo CARLOS ANDRES PEREZ AREIZA</t>
  </si>
  <si>
    <t>Pago Mensualidades Capítulo CARLOS MARIO CEBALLOS</t>
  </si>
  <si>
    <t>Pago Mensualidades Capítulo JHON ENMANUEL ARZUZA PÁEZ</t>
  </si>
  <si>
    <t>Pago Mensualidades Capítulo JEFFERSON MONTOYA MUÑOZ</t>
  </si>
  <si>
    <t>Pago Mensualidades Capítulo JHON DAVID SANCHEZ</t>
  </si>
  <si>
    <t>Pago Mensualidades Capítulo MILTON  DARIO GOMEZ RIVERA</t>
  </si>
  <si>
    <t>Pago Mensualidades Capítulo GUSTAVO ADOLFO GOMEZ ZULUAGA</t>
  </si>
  <si>
    <t>Pago Mensualidades Capítulo NELSON AUGUSTO MONTOYA MATAUTE</t>
  </si>
  <si>
    <t>Pago Mensualidades Capítulo JOSE JULIAN VILLAMIZAR ARAQUE</t>
  </si>
  <si>
    <t>Pago Anualidad 2026 Capítulo CARLOS ALBERTO ARAQUE BETANCUR</t>
  </si>
  <si>
    <t>Pago Anualidad 2026 Capítulo DANIEL  VILLAMIZAR</t>
  </si>
  <si>
    <t>Pago Parches GUSTAVO ADOLFO GOMEZ ZULUAGA</t>
  </si>
  <si>
    <t>Pago Parches NELSON AUGUSTO MONTOYA MATAUTE</t>
  </si>
  <si>
    <t>Pago Parches JHON DAVID SANCHEZ</t>
  </si>
  <si>
    <t>Pago Actividad  Fin de Año DANIEL  VILLAMIZAR</t>
  </si>
  <si>
    <t>Pago Actividad  Fin de Año ROBINSON GALVIS</t>
  </si>
  <si>
    <t>Pago Actividad  Fin de Año JHON JARVEY GÓMEZ PATIÑO</t>
  </si>
  <si>
    <t>Pago Actividad  Fin de Año CARLOS ANDRES PEREZ AREIZA</t>
  </si>
  <si>
    <t>Pago Actividad  Fin de Año JOSÉ EDINSON OSPINA CRUZ</t>
  </si>
  <si>
    <t>Pago Actividad  Fin de Año CARLOS MARIO CEBALLOS</t>
  </si>
  <si>
    <t>Pago Actividad  Fin de Año JHON ENMANUEL ARZUZA PÁEZ</t>
  </si>
  <si>
    <t>Pago Actividad  Fin de Año YEFERSON USUGA</t>
  </si>
  <si>
    <t>Pago Actividad  Fin de Año MILTON  DARIO GOMEZ RIVERA</t>
  </si>
  <si>
    <t>Pago Actividad  Fin de Año CARLOS MARIO DIAZ DIAZ</t>
  </si>
  <si>
    <t>Pago Actividad  Fin de Año NELSON AUGUSTO MONTOYA MATAUTE</t>
  </si>
  <si>
    <t>Pago Actividad  Fin de Año CARLOS JULIO MOVIE</t>
  </si>
  <si>
    <t>Pago Actividad  Fin de Año HECTOR MARIO GONZALEZ HENAO</t>
  </si>
  <si>
    <t>Pago Actividad  Fin de Año ARLEX BETANCUR</t>
  </si>
  <si>
    <t>Pago Actividad  Fin de Año LAURA VIVIANA SALAZAR MORENO</t>
  </si>
  <si>
    <t>Mensualidad E Inscripción Cesar Leonel Rodriguez Galan</t>
  </si>
  <si>
    <t>Mensualidad Angela Maria Rodriguez Ochoa</t>
  </si>
  <si>
    <t>VENTA 1 CAMISETA JOSE JULIAN VILLAMIZAR ARAQUE</t>
  </si>
  <si>
    <t>PAGO TRANSPORTADORA INTER RAPIDISIMO 4 Parches MEMBRESIA</t>
  </si>
  <si>
    <t>31/12/2024</t>
  </si>
  <si>
    <t>SALDO FINAL AÑO</t>
  </si>
  <si>
    <t xml:space="preserve">SALDO INICIAL </t>
  </si>
  <si>
    <t>Pago renovación Membresia Internacional CARLOS ANDRES PEREZ AREIZA Y NATALIA GOMEZ</t>
  </si>
  <si>
    <t>Compra Bebidas Actividad Fin de Año</t>
  </si>
  <si>
    <t>Compra Gaseosas, Leche, Galletas, Natilla Actividad Fin de Año</t>
  </si>
  <si>
    <t>Auxilio Aniversario Floridablanca JEFERSON MONTOYA MUÑOZ</t>
  </si>
  <si>
    <t>Auxilio Aniversario Floridablanca RAMON ANTONIO GONZALEZ CASTAÑO</t>
  </si>
  <si>
    <t>Auxilio Aniversario Floridablanca ANGELA MARIA RODRIGUEZ OCHOA</t>
  </si>
  <si>
    <t>Auxilio Aniversario CALI  CARLOS JULIO RENDON DIAZ</t>
  </si>
  <si>
    <t>Auxilio Aniversario PEREIRA  HECTOR MARIO GONZALEZ HENAO</t>
  </si>
  <si>
    <t>Auxilio Aniversario CALI JOSE EDINSON OSPINA CRUZ</t>
  </si>
  <si>
    <t>Auxilio Aniversario CALI  JHON EMANUEL ARZUZA PAEZ</t>
  </si>
  <si>
    <t>Auxilio Aniversario PEREIRA MILTON DARIO GOMEZ RIVERA</t>
  </si>
  <si>
    <t>Auxilio Aniversario PEREIRA WILLIAM HUMBERTO JIMENEZ PEREZ</t>
  </si>
  <si>
    <t>Auxilio Aniversario PEREIRA JHON EMANUEL ARZUZA PAEZ</t>
  </si>
  <si>
    <t>Pago Mensualidades Capítulo HECTOR MARIO GONZALEZ HENAO</t>
  </si>
  <si>
    <t>Pago Mensualidades Capítulo ROBINSON ALEJANDRO GALVIS PARRA</t>
  </si>
  <si>
    <t>Pago Mensualidades Capítulo JENNIFER ANDREA CARDONA BENITEZ</t>
  </si>
  <si>
    <t>Pago Mensualidades Capítulo CARLOS MARIO DIAZ DIAZ</t>
  </si>
  <si>
    <t>Pago 06 Mensualidades Capítulo DANIEL ANDREY VILLAMIZAR ARAQUE</t>
  </si>
  <si>
    <t>Pago 06 Mensualidades Capítulo LAURA  VIVIANA SALAZAR MORENO</t>
  </si>
  <si>
    <t>Pago renovación Membresia Asociado ANDERSON ARLEX BETANCUR RUA</t>
  </si>
  <si>
    <t>Pago Transporte INTER RAPIDISIMO Parches Internacionales</t>
  </si>
  <si>
    <t>Auxilio Aniversario PEREIRA GUSTAVO ADOLFO GOMEZ ZULUAGA</t>
  </si>
  <si>
    <t>Auxilio Aniversario PEREIRA  CARLOS MARIO DIAZ DIAZ</t>
  </si>
  <si>
    <t>Pago Dia Sol Finca Barbosa Milton</t>
  </si>
  <si>
    <t>Compra de Renovación Membresias 2026 a L.A.M.A. International Motorcycle Association Inc</t>
  </si>
  <si>
    <t>Pago Mensualidades Capítulo  JHON HARVEY GOMEZ PATIÑO</t>
  </si>
  <si>
    <t>Compra Parche Membresia Asociado a L.A.M.A. International Motorcycle Association Inc</t>
  </si>
  <si>
    <t>Aporte Simbolico Actividad Sancocho Asamblea Octubre</t>
  </si>
  <si>
    <t>Abono Mensualidades Capítulo  CARLOS JULIO RENDON DIAZ</t>
  </si>
  <si>
    <t>Compra Parches a L.A.M.A. International Motorcycle Association Inc</t>
  </si>
  <si>
    <t xml:space="preserve">GastosApertura Cuenta Bancaria Fundación </t>
  </si>
  <si>
    <t>Compra Insumos Actividad Sancocho Asamblea Octubre</t>
  </si>
  <si>
    <t>Pago Mensualidades Capítulo y  Parches  ANGELA MARIA RODRIGUEZ OCHOA</t>
  </si>
  <si>
    <t>Compra Insumos Varios Actividad Sancocho Donde MILTON</t>
  </si>
  <si>
    <t>Compra Insumos Revuelto Actividad Sancocho Donde MILTON</t>
  </si>
  <si>
    <t>Compra Bebidas Actividad Sancocho Donde MILTON</t>
  </si>
  <si>
    <t>Compra Arreglo Floral Velorio de Madre de Maria Paez</t>
  </si>
  <si>
    <t>Compra Inscripción Camara y Comerio Fundación</t>
  </si>
  <si>
    <t>Abono 06 Mensualidades CapítuloCARLOS ANDRES PEREZ AREIZA</t>
  </si>
  <si>
    <t>Venta 9 Jerseys Aniversario</t>
  </si>
  <si>
    <t>Venta 04 Balaclavas</t>
  </si>
  <si>
    <t>Compra de Gaseosas Asamblea</t>
  </si>
  <si>
    <t>Compra de 2 Pollos Frisby Asamblea</t>
  </si>
  <si>
    <t>Venta 02 Camisetas LM ROBINSON ALEJANDRO GALVIS PARRA</t>
  </si>
  <si>
    <t>Compra Parches Apouyo Cuba</t>
  </si>
  <si>
    <t>Venta 02 Balaclavas</t>
  </si>
  <si>
    <t>Venta 02 Camisetas LM</t>
  </si>
  <si>
    <t>Venta 30 Jerseys Aniversario En Rally Sudamericano</t>
  </si>
  <si>
    <t>Pago Mensualidades Capítulo a Noviembre 2025  JOSE JULIAN VILLAMIZAR ARAQUE</t>
  </si>
  <si>
    <t xml:space="preserve">Pago Diseño Cambio Marca Capítulo </t>
  </si>
  <si>
    <t>Auxilio GUSTAVO ADOLFO GOMEZ ZULUAGA</t>
  </si>
  <si>
    <t>Auxilio WILLIAM HUMBERTO JIMENEZ PEREZ</t>
  </si>
  <si>
    <t>Auxilio JHON ENMANUEL ARZUZA PÁEZ</t>
  </si>
  <si>
    <t>Auxilio CARLOS MARIO DIAZ DIAZ</t>
  </si>
  <si>
    <t>Compra Insumos Actividad Asado Diciembre</t>
  </si>
  <si>
    <t>Compra de Banderas Capítulo Medellin</t>
  </si>
  <si>
    <t>Pago Transporte  Inter Rapidisimo</t>
  </si>
  <si>
    <t>COMPRA PARCHES 176 USD TRM 4.387,98</t>
  </si>
  <si>
    <t>COMPRA DE 5 * 20 USD MEMBRESIAS TRM 4.387,98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</si>
</sst>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_-"/>
    <numFmt numFmtId="165" formatCode="_-[$$-240A]\ * #,##0_-;\-[$$-240A]\ * #,##0_-;_-[$$-240A]\ * &quot;-&quot;_-;_-@_-"/>
    <numFmt numFmtId="166" formatCode="dd/m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A969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330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2" xfId="0" applyFont="1" applyBorder="1"/>
    <xf numFmtId="164" fontId="0" fillId="0" borderId="0" xfId="0" applyNumberFormat="1"/>
    <xf numFmtId="0" fontId="0" fillId="0" borderId="2" xfId="0" applyBorder="1"/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0" fillId="0" borderId="2" xfId="0" applyBorder="1" applyAlignment="1">
      <alignment horizontal="left"/>
    </xf>
    <xf numFmtId="0" fontId="0" fillId="6" borderId="2" xfId="0" applyFill="1" applyBorder="1" applyAlignment="1">
      <alignment horizontal="left"/>
    </xf>
    <xf numFmtId="0" fontId="5" fillId="6" borderId="2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7" fillId="0" borderId="2" xfId="0" applyFont="1" applyBorder="1" applyAlignment="1">
      <alignment horizontal="left" vertical="top"/>
    </xf>
    <xf numFmtId="165" fontId="0" fillId="0" borderId="2" xfId="1" applyNumberFormat="1" applyFont="1" applyBorder="1"/>
    <xf numFmtId="165" fontId="0" fillId="0" borderId="2" xfId="1" applyNumberFormat="1" applyFont="1" applyFill="1" applyBorder="1" applyAlignment="1"/>
    <xf numFmtId="165" fontId="6" fillId="5" borderId="2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 wrapText="1"/>
    </xf>
    <xf numFmtId="165" fontId="0" fillId="0" borderId="2" xfId="1" applyNumberFormat="1" applyFont="1" applyFill="1" applyBorder="1"/>
    <xf numFmtId="165" fontId="0" fillId="6" borderId="2" xfId="1" applyNumberFormat="1" applyFont="1" applyFill="1" applyBorder="1"/>
    <xf numFmtId="165" fontId="0" fillId="6" borderId="4" xfId="1" applyNumberFormat="1" applyFont="1" applyFill="1" applyBorder="1"/>
    <xf numFmtId="165" fontId="0" fillId="0" borderId="4" xfId="1" applyNumberFormat="1" applyFont="1" applyBorder="1"/>
    <xf numFmtId="165" fontId="3" fillId="7" borderId="2" xfId="1" applyNumberFormat="1" applyFont="1" applyFill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6" fillId="3" borderId="2" xfId="1" applyNumberFormat="1" applyFont="1" applyFill="1" applyBorder="1" applyAlignment="1">
      <alignment horizontal="center" vertical="center" wrapText="1"/>
    </xf>
    <xf numFmtId="0" fontId="0" fillId="7" borderId="0" xfId="0" applyFill="1"/>
    <xf numFmtId="165" fontId="6" fillId="8" borderId="2" xfId="1" applyNumberFormat="1" applyFont="1" applyFill="1" applyBorder="1" applyAlignment="1">
      <alignment horizontal="center" vertical="center" wrapText="1"/>
    </xf>
    <xf numFmtId="0" fontId="0" fillId="0" borderId="2" xfId="0" applyFont="1" applyBorder="1"/>
    <xf numFmtId="0" fontId="0" fillId="0" borderId="2" xfId="0" applyFont="1" applyBorder="1" applyAlignment="1">
      <alignment horizontal="lef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65B6-27F9-4950-B09D-607DAFB52E27}">
  <dimension ref="A1:F201"/>
  <sheetViews>
    <sheetView tabSelected="1" topLeftCell="A168" workbookViewId="0">
      <selection activeCell="D199" sqref="D199"/>
    </sheetView>
  </sheetViews>
  <sheetFormatPr baseColWidth="10" defaultRowHeight="15" x14ac:dyDescent="0.25"/>
  <cols>
    <col min="1" max="1" width="11" bestFit="1" customWidth="1"/>
    <col min="2" max="2" width="76" bestFit="1" customWidth="1"/>
    <col min="3" max="4" width="14.140625" bestFit="1" customWidth="1"/>
    <col min="5" max="5" width="13" bestFit="1" customWidth="1"/>
  </cols>
  <sheetData>
    <row r="1" spans="1:5" ht="25.5" x14ac:dyDescent="0.25">
      <c r="A1" s="4" t="s">
        <v>0</v>
      </c>
      <c r="B1" s="4" t="s">
        <v>1</v>
      </c>
      <c r="C1" s="5" t="s">
        <v>2</v>
      </c>
      <c r="D1" s="6" t="s">
        <v>3</v>
      </c>
      <c r="E1" s="8" t="s">
        <v>134</v>
      </c>
    </row>
    <row r="2" spans="1:5" ht="15.75" x14ac:dyDescent="0.25">
      <c r="A2" s="25" t="s">
        <v>133</v>
      </c>
      <c r="B2" s="1" t="s">
        <v>135</v>
      </c>
      <c r="C2" s="26">
        <v>6915000</v>
      </c>
      <c r="D2" s="17"/>
      <c r="E2" s="28"/>
    </row>
    <row r="3" spans="1:5" x14ac:dyDescent="0.25">
      <c r="A3" s="25">
        <v>45658</v>
      </c>
      <c r="B3" s="3" t="s">
        <v>4</v>
      </c>
      <c r="C3" s="16">
        <v>60000</v>
      </c>
      <c r="D3" s="16"/>
      <c r="E3" s="19"/>
    </row>
    <row r="4" spans="1:5" x14ac:dyDescent="0.25">
      <c r="A4" s="25">
        <v>45659</v>
      </c>
      <c r="B4" s="3" t="s">
        <v>5</v>
      </c>
      <c r="C4" s="16"/>
      <c r="D4" s="16">
        <v>380000</v>
      </c>
      <c r="E4" s="19"/>
    </row>
    <row r="5" spans="1:5" x14ac:dyDescent="0.25">
      <c r="A5" s="25">
        <v>45660</v>
      </c>
      <c r="B5" s="10" t="s">
        <v>6</v>
      </c>
      <c r="C5" s="16"/>
      <c r="D5" s="16">
        <v>1098000</v>
      </c>
      <c r="E5" s="19"/>
    </row>
    <row r="6" spans="1:5" x14ac:dyDescent="0.25">
      <c r="A6" s="25">
        <v>45661</v>
      </c>
      <c r="B6" s="10" t="s">
        <v>7</v>
      </c>
      <c r="C6" s="16"/>
      <c r="D6" s="16">
        <v>22000</v>
      </c>
      <c r="E6" s="19"/>
    </row>
    <row r="7" spans="1:5" x14ac:dyDescent="0.25">
      <c r="A7" s="25">
        <v>45662</v>
      </c>
      <c r="B7" s="10" t="s">
        <v>8</v>
      </c>
      <c r="C7" s="20">
        <v>253000</v>
      </c>
      <c r="D7" s="17"/>
      <c r="E7" s="19"/>
    </row>
    <row r="8" spans="1:5" x14ac:dyDescent="0.25">
      <c r="A8" s="25">
        <v>45663</v>
      </c>
      <c r="B8" s="10" t="s">
        <v>9</v>
      </c>
      <c r="C8" s="20">
        <v>40000</v>
      </c>
      <c r="D8" s="17"/>
      <c r="E8" s="19"/>
    </row>
    <row r="9" spans="1:5" x14ac:dyDescent="0.25">
      <c r="A9" s="25">
        <v>45664</v>
      </c>
      <c r="B9" s="10" t="s">
        <v>10</v>
      </c>
      <c r="C9" s="20">
        <v>180000</v>
      </c>
      <c r="D9" s="17"/>
      <c r="E9" s="19"/>
    </row>
    <row r="10" spans="1:5" x14ac:dyDescent="0.25">
      <c r="A10" s="25">
        <v>45665</v>
      </c>
      <c r="B10" s="10" t="s">
        <v>11</v>
      </c>
      <c r="C10" s="20"/>
      <c r="D10" s="17">
        <v>40000</v>
      </c>
      <c r="E10" s="19"/>
    </row>
    <row r="11" spans="1:5" x14ac:dyDescent="0.25">
      <c r="A11" s="25">
        <v>45666</v>
      </c>
      <c r="B11" s="3" t="s">
        <v>12</v>
      </c>
      <c r="C11" s="20">
        <v>106000</v>
      </c>
      <c r="D11" s="17"/>
      <c r="E11" s="19"/>
    </row>
    <row r="12" spans="1:5" x14ac:dyDescent="0.25">
      <c r="A12" s="25">
        <v>45667</v>
      </c>
      <c r="B12" s="10" t="s">
        <v>13</v>
      </c>
      <c r="C12" s="20">
        <v>265800</v>
      </c>
      <c r="D12" s="17"/>
      <c r="E12" s="19"/>
    </row>
    <row r="13" spans="1:5" x14ac:dyDescent="0.25">
      <c r="A13" s="25">
        <v>45668</v>
      </c>
      <c r="B13" s="10" t="s">
        <v>14</v>
      </c>
      <c r="C13" s="20">
        <v>80000</v>
      </c>
      <c r="D13" s="17"/>
      <c r="E13" s="19"/>
    </row>
    <row r="14" spans="1:5" x14ac:dyDescent="0.25">
      <c r="A14" s="25">
        <v>45669</v>
      </c>
      <c r="B14" s="10" t="s">
        <v>15</v>
      </c>
      <c r="C14" s="20">
        <v>60000</v>
      </c>
      <c r="D14" s="17"/>
      <c r="E14" s="19"/>
    </row>
    <row r="15" spans="1:5" x14ac:dyDescent="0.25">
      <c r="A15" s="25">
        <v>45670</v>
      </c>
      <c r="B15" s="10" t="s">
        <v>16</v>
      </c>
      <c r="C15" s="20"/>
      <c r="D15" s="17">
        <v>1750000</v>
      </c>
      <c r="E15" s="19"/>
    </row>
    <row r="16" spans="1:5" x14ac:dyDescent="0.25">
      <c r="A16" s="25">
        <v>45671</v>
      </c>
      <c r="B16" s="9" t="s">
        <v>17</v>
      </c>
      <c r="C16" s="16">
        <v>80000</v>
      </c>
      <c r="D16" s="17"/>
      <c r="E16" s="19"/>
    </row>
    <row r="17" spans="1:5" x14ac:dyDescent="0.25">
      <c r="A17" s="25">
        <v>45672</v>
      </c>
      <c r="B17" s="9" t="s">
        <v>18</v>
      </c>
      <c r="C17" s="16">
        <v>60000</v>
      </c>
      <c r="D17" s="17"/>
      <c r="E17" s="19"/>
    </row>
    <row r="18" spans="1:5" x14ac:dyDescent="0.25">
      <c r="A18" s="25">
        <v>45673</v>
      </c>
      <c r="B18" s="9" t="s">
        <v>19</v>
      </c>
      <c r="C18" s="16">
        <v>120000</v>
      </c>
      <c r="D18" s="17"/>
      <c r="E18" s="19"/>
    </row>
    <row r="19" spans="1:5" x14ac:dyDescent="0.25">
      <c r="A19" s="25">
        <v>45674</v>
      </c>
      <c r="B19" s="9" t="s">
        <v>20</v>
      </c>
      <c r="C19" s="16"/>
      <c r="D19" s="17">
        <v>50000</v>
      </c>
      <c r="E19" s="19"/>
    </row>
    <row r="20" spans="1:5" x14ac:dyDescent="0.25">
      <c r="A20" s="25">
        <v>45675</v>
      </c>
      <c r="B20" s="9" t="s">
        <v>21</v>
      </c>
      <c r="C20" s="16">
        <v>120000</v>
      </c>
      <c r="D20" s="17"/>
      <c r="E20" s="19"/>
    </row>
    <row r="21" spans="1:5" x14ac:dyDescent="0.25">
      <c r="A21" s="25">
        <v>45676</v>
      </c>
      <c r="B21" s="9" t="s">
        <v>22</v>
      </c>
      <c r="C21" s="16">
        <v>120000</v>
      </c>
      <c r="D21" s="17"/>
      <c r="E21" s="19"/>
    </row>
    <row r="22" spans="1:5" x14ac:dyDescent="0.25">
      <c r="A22" s="25">
        <v>45677</v>
      </c>
      <c r="B22" s="3" t="s">
        <v>23</v>
      </c>
      <c r="C22" s="16">
        <v>80000</v>
      </c>
      <c r="D22" s="17"/>
      <c r="E22" s="19"/>
    </row>
    <row r="23" spans="1:5" x14ac:dyDescent="0.25">
      <c r="A23" s="25">
        <v>45678</v>
      </c>
      <c r="B23" s="3" t="s">
        <v>24</v>
      </c>
      <c r="C23" s="16">
        <v>80000</v>
      </c>
      <c r="D23" s="17"/>
      <c r="E23" s="19"/>
    </row>
    <row r="24" spans="1:5" x14ac:dyDescent="0.25">
      <c r="A24" s="25">
        <v>45679</v>
      </c>
      <c r="B24" s="3" t="s">
        <v>25</v>
      </c>
      <c r="C24" s="16">
        <v>46000</v>
      </c>
      <c r="D24" s="17"/>
      <c r="E24" s="19"/>
    </row>
    <row r="25" spans="1:5" x14ac:dyDescent="0.25">
      <c r="A25" s="25">
        <v>45680</v>
      </c>
      <c r="B25" s="3" t="s">
        <v>26</v>
      </c>
      <c r="C25" s="16">
        <v>66000</v>
      </c>
      <c r="D25" s="17"/>
      <c r="E25" s="19"/>
    </row>
    <row r="26" spans="1:5" x14ac:dyDescent="0.25">
      <c r="A26" s="25">
        <v>45681</v>
      </c>
      <c r="B26" s="3" t="s">
        <v>27</v>
      </c>
      <c r="C26" s="16">
        <v>315000</v>
      </c>
      <c r="D26" s="17"/>
      <c r="E26" s="19"/>
    </row>
    <row r="27" spans="1:5" x14ac:dyDescent="0.25">
      <c r="A27" s="25">
        <v>45690</v>
      </c>
      <c r="B27" s="3" t="s">
        <v>28</v>
      </c>
      <c r="C27" s="16">
        <v>46000</v>
      </c>
      <c r="D27" s="16"/>
      <c r="E27" s="19"/>
    </row>
    <row r="28" spans="1:5" x14ac:dyDescent="0.25">
      <c r="A28" s="25">
        <v>45691</v>
      </c>
      <c r="B28" s="3" t="s">
        <v>29</v>
      </c>
      <c r="C28" s="16">
        <v>220000</v>
      </c>
      <c r="D28" s="16"/>
      <c r="E28" s="19"/>
    </row>
    <row r="29" spans="1:5" x14ac:dyDescent="0.25">
      <c r="A29" s="25">
        <v>45692</v>
      </c>
      <c r="B29" s="10" t="s">
        <v>30</v>
      </c>
      <c r="C29" s="16">
        <v>46000</v>
      </c>
      <c r="D29" s="16"/>
      <c r="E29" s="19"/>
    </row>
    <row r="30" spans="1:5" x14ac:dyDescent="0.25">
      <c r="A30" s="25">
        <v>45693</v>
      </c>
      <c r="B30" s="10" t="s">
        <v>31</v>
      </c>
      <c r="C30" s="20">
        <v>46000</v>
      </c>
      <c r="D30" s="17"/>
      <c r="E30" s="19"/>
    </row>
    <row r="31" spans="1:5" x14ac:dyDescent="0.25">
      <c r="A31" s="25">
        <v>45694</v>
      </c>
      <c r="B31" s="10" t="s">
        <v>32</v>
      </c>
      <c r="C31" s="20">
        <v>66000</v>
      </c>
      <c r="D31" s="17"/>
      <c r="E31" s="19"/>
    </row>
    <row r="32" spans="1:5" x14ac:dyDescent="0.25">
      <c r="A32" s="25">
        <v>45695</v>
      </c>
      <c r="B32" s="10" t="s">
        <v>33</v>
      </c>
      <c r="C32" s="20">
        <v>92000</v>
      </c>
      <c r="D32" s="17"/>
      <c r="E32" s="19"/>
    </row>
    <row r="33" spans="1:5" x14ac:dyDescent="0.25">
      <c r="A33" s="25">
        <v>45696</v>
      </c>
      <c r="B33" s="10" t="s">
        <v>34</v>
      </c>
      <c r="C33" s="20">
        <v>46000</v>
      </c>
      <c r="D33" s="17"/>
      <c r="E33" s="19"/>
    </row>
    <row r="34" spans="1:5" x14ac:dyDescent="0.25">
      <c r="A34" s="25">
        <v>45697</v>
      </c>
      <c r="B34" s="3" t="s">
        <v>35</v>
      </c>
      <c r="C34" s="20">
        <v>92000</v>
      </c>
      <c r="D34" s="17"/>
      <c r="E34" s="19"/>
    </row>
    <row r="35" spans="1:5" x14ac:dyDescent="0.25">
      <c r="A35" s="25">
        <v>45698</v>
      </c>
      <c r="B35" s="10" t="s">
        <v>36</v>
      </c>
      <c r="C35" s="20">
        <v>46000</v>
      </c>
      <c r="D35" s="17"/>
      <c r="E35" s="19"/>
    </row>
    <row r="36" spans="1:5" x14ac:dyDescent="0.25">
      <c r="A36" s="25">
        <v>45699</v>
      </c>
      <c r="B36" s="10" t="s">
        <v>37</v>
      </c>
      <c r="C36" s="20">
        <v>46000</v>
      </c>
      <c r="D36" s="17"/>
      <c r="E36" s="19"/>
    </row>
    <row r="37" spans="1:5" x14ac:dyDescent="0.25">
      <c r="A37" s="25">
        <v>45700</v>
      </c>
      <c r="B37" s="10" t="s">
        <v>38</v>
      </c>
      <c r="C37" s="20">
        <v>45000</v>
      </c>
      <c r="D37" s="17"/>
      <c r="E37" s="19"/>
    </row>
    <row r="38" spans="1:5" x14ac:dyDescent="0.25">
      <c r="A38" s="25">
        <v>45701</v>
      </c>
      <c r="B38" s="10" t="s">
        <v>39</v>
      </c>
      <c r="C38" s="20">
        <v>20000</v>
      </c>
      <c r="D38" s="17"/>
      <c r="E38" s="19"/>
    </row>
    <row r="39" spans="1:5" x14ac:dyDescent="0.25">
      <c r="A39" s="25">
        <v>45702</v>
      </c>
      <c r="B39" s="9" t="s">
        <v>40</v>
      </c>
      <c r="C39" s="16">
        <v>286000</v>
      </c>
      <c r="D39" s="17"/>
      <c r="E39" s="19"/>
    </row>
    <row r="40" spans="1:5" x14ac:dyDescent="0.25">
      <c r="A40" s="25">
        <v>45703</v>
      </c>
      <c r="B40" s="9" t="s">
        <v>41</v>
      </c>
      <c r="C40" s="16">
        <v>166000</v>
      </c>
      <c r="D40" s="17"/>
      <c r="E40" s="19"/>
    </row>
    <row r="41" spans="1:5" x14ac:dyDescent="0.25">
      <c r="A41" s="25">
        <v>45704</v>
      </c>
      <c r="B41" s="9" t="s">
        <v>42</v>
      </c>
      <c r="C41" s="16">
        <v>92000</v>
      </c>
      <c r="D41" s="17"/>
      <c r="E41" s="19"/>
    </row>
    <row r="42" spans="1:5" x14ac:dyDescent="0.25">
      <c r="A42" s="25">
        <v>45705</v>
      </c>
      <c r="B42" s="9" t="s">
        <v>43</v>
      </c>
      <c r="C42" s="16">
        <v>92000</v>
      </c>
      <c r="D42" s="17"/>
      <c r="E42" s="19"/>
    </row>
    <row r="43" spans="1:5" x14ac:dyDescent="0.25">
      <c r="A43" s="25">
        <v>45706</v>
      </c>
      <c r="B43" s="9" t="s">
        <v>44</v>
      </c>
      <c r="C43" s="16"/>
      <c r="D43" s="17">
        <v>50000</v>
      </c>
      <c r="E43" s="19"/>
    </row>
    <row r="44" spans="1:5" x14ac:dyDescent="0.25">
      <c r="A44" s="25">
        <v>45707</v>
      </c>
      <c r="B44" s="9" t="s">
        <v>45</v>
      </c>
      <c r="C44" s="16"/>
      <c r="D44" s="17">
        <v>2251622</v>
      </c>
      <c r="E44" s="19"/>
    </row>
    <row r="45" spans="1:5" x14ac:dyDescent="0.25">
      <c r="A45" s="25">
        <v>45708</v>
      </c>
      <c r="B45" s="9" t="s">
        <v>46</v>
      </c>
      <c r="C45" s="16"/>
      <c r="D45" s="17">
        <v>16500</v>
      </c>
      <c r="E45" s="19"/>
    </row>
    <row r="46" spans="1:5" x14ac:dyDescent="0.25">
      <c r="A46" s="25">
        <v>45709</v>
      </c>
      <c r="B46" s="3" t="s">
        <v>47</v>
      </c>
      <c r="C46" s="16"/>
      <c r="D46" s="17">
        <v>200000</v>
      </c>
      <c r="E46" s="19"/>
    </row>
    <row r="47" spans="1:5" x14ac:dyDescent="0.25">
      <c r="A47" s="25">
        <v>45710</v>
      </c>
      <c r="B47" s="3" t="s">
        <v>48</v>
      </c>
      <c r="C47" s="16"/>
      <c r="D47" s="17">
        <v>250000</v>
      </c>
      <c r="E47" s="19"/>
    </row>
    <row r="48" spans="1:5" x14ac:dyDescent="0.25">
      <c r="A48" s="25">
        <v>45711</v>
      </c>
      <c r="B48" s="3" t="s">
        <v>49</v>
      </c>
      <c r="C48" s="16">
        <v>128800</v>
      </c>
      <c r="D48" s="17"/>
      <c r="E48" s="19"/>
    </row>
    <row r="49" spans="1:5" x14ac:dyDescent="0.25">
      <c r="A49" s="25">
        <v>45712</v>
      </c>
      <c r="B49" s="3" t="s">
        <v>50</v>
      </c>
      <c r="C49" s="16">
        <v>20000</v>
      </c>
      <c r="D49" s="17"/>
      <c r="E49" s="19"/>
    </row>
    <row r="50" spans="1:5" x14ac:dyDescent="0.25">
      <c r="A50" s="25">
        <v>45749</v>
      </c>
      <c r="B50" s="11" t="s">
        <v>51</v>
      </c>
      <c r="C50" s="21">
        <v>72000</v>
      </c>
      <c r="D50" s="17"/>
      <c r="E50" s="19"/>
    </row>
    <row r="51" spans="1:5" x14ac:dyDescent="0.25">
      <c r="A51" s="25">
        <v>45750</v>
      </c>
      <c r="B51" s="9" t="s">
        <v>194</v>
      </c>
      <c r="C51" s="20"/>
      <c r="D51" s="17">
        <v>438798</v>
      </c>
      <c r="E51" s="19"/>
    </row>
    <row r="52" spans="1:5" x14ac:dyDescent="0.25">
      <c r="A52" s="25">
        <v>45751</v>
      </c>
      <c r="B52" s="29" t="s">
        <v>193</v>
      </c>
      <c r="C52" s="20"/>
      <c r="D52" s="17">
        <v>772284.48</v>
      </c>
      <c r="E52" s="19"/>
    </row>
    <row r="53" spans="1:5" x14ac:dyDescent="0.25">
      <c r="A53" s="25">
        <v>45752</v>
      </c>
      <c r="B53" s="12" t="s">
        <v>46</v>
      </c>
      <c r="C53" s="20"/>
      <c r="D53" s="17">
        <v>16500</v>
      </c>
      <c r="E53" s="19"/>
    </row>
    <row r="54" spans="1:5" x14ac:dyDescent="0.25">
      <c r="A54" s="25">
        <v>45753</v>
      </c>
      <c r="B54" s="9" t="s">
        <v>52</v>
      </c>
      <c r="C54" s="16">
        <v>655050</v>
      </c>
      <c r="D54" s="17"/>
      <c r="E54" s="19"/>
    </row>
    <row r="55" spans="1:5" x14ac:dyDescent="0.25">
      <c r="A55" s="25">
        <v>45754</v>
      </c>
      <c r="B55" s="9" t="s">
        <v>55</v>
      </c>
      <c r="C55" s="16"/>
      <c r="D55" s="17">
        <v>16500</v>
      </c>
      <c r="E55" s="19"/>
    </row>
    <row r="56" spans="1:5" x14ac:dyDescent="0.25">
      <c r="A56" s="25">
        <v>45755</v>
      </c>
      <c r="B56" s="9" t="s">
        <v>53</v>
      </c>
      <c r="C56" s="16">
        <v>480000</v>
      </c>
      <c r="D56" s="17"/>
      <c r="E56" s="19"/>
    </row>
    <row r="57" spans="1:5" x14ac:dyDescent="0.25">
      <c r="A57" s="25">
        <v>45756</v>
      </c>
      <c r="B57" s="9" t="s">
        <v>54</v>
      </c>
      <c r="C57" s="16">
        <v>20000</v>
      </c>
      <c r="D57" s="17"/>
      <c r="E57" s="19"/>
    </row>
    <row r="58" spans="1:5" x14ac:dyDescent="0.25">
      <c r="A58" s="25">
        <v>45790</v>
      </c>
      <c r="B58" s="14" t="s">
        <v>56</v>
      </c>
      <c r="C58" s="21"/>
      <c r="D58" s="17">
        <v>90000</v>
      </c>
      <c r="E58" s="19"/>
    </row>
    <row r="59" spans="1:5" x14ac:dyDescent="0.25">
      <c r="A59" s="25">
        <v>45791</v>
      </c>
      <c r="B59" s="12" t="s">
        <v>131</v>
      </c>
      <c r="C59" s="22">
        <v>60000</v>
      </c>
      <c r="D59" s="17"/>
      <c r="E59" s="19"/>
    </row>
    <row r="60" spans="1:5" x14ac:dyDescent="0.25">
      <c r="A60" s="25">
        <v>45792</v>
      </c>
      <c r="B60" s="9" t="s">
        <v>132</v>
      </c>
      <c r="C60" s="23"/>
      <c r="D60" s="17">
        <v>16500</v>
      </c>
      <c r="E60" s="19"/>
    </row>
    <row r="61" spans="1:5" x14ac:dyDescent="0.25">
      <c r="A61" s="25">
        <v>45853</v>
      </c>
      <c r="B61" s="29" t="s">
        <v>60</v>
      </c>
      <c r="C61" s="16">
        <f>3500000</f>
        <v>3500000</v>
      </c>
      <c r="D61" s="17"/>
      <c r="E61" s="19"/>
    </row>
    <row r="62" spans="1:5" x14ac:dyDescent="0.25">
      <c r="A62" s="25">
        <v>45854</v>
      </c>
      <c r="B62" s="13" t="s">
        <v>58</v>
      </c>
      <c r="C62" s="21"/>
      <c r="D62" s="16">
        <v>1000000</v>
      </c>
      <c r="E62" s="19"/>
    </row>
    <row r="63" spans="1:5" x14ac:dyDescent="0.25">
      <c r="A63" s="25">
        <v>45855</v>
      </c>
      <c r="B63" s="10" t="s">
        <v>59</v>
      </c>
      <c r="C63" s="16"/>
      <c r="D63" s="17">
        <v>2672000</v>
      </c>
      <c r="E63" s="19"/>
    </row>
    <row r="64" spans="1:5" x14ac:dyDescent="0.25">
      <c r="A64" s="25">
        <v>45856</v>
      </c>
      <c r="B64" s="10" t="s">
        <v>57</v>
      </c>
      <c r="C64" s="16"/>
      <c r="D64" s="17">
        <v>395000</v>
      </c>
      <c r="E64" s="19"/>
    </row>
    <row r="65" spans="1:5" x14ac:dyDescent="0.25">
      <c r="A65" s="25">
        <v>45857</v>
      </c>
      <c r="B65" s="10" t="s">
        <v>59</v>
      </c>
      <c r="C65" s="16"/>
      <c r="D65" s="17">
        <v>2762000</v>
      </c>
      <c r="E65" s="19"/>
    </row>
    <row r="66" spans="1:5" x14ac:dyDescent="0.25">
      <c r="A66" s="25">
        <v>45870</v>
      </c>
      <c r="B66" s="30" t="s">
        <v>68</v>
      </c>
      <c r="C66" s="16">
        <v>3980000</v>
      </c>
      <c r="D66" s="16"/>
      <c r="E66" s="19"/>
    </row>
    <row r="67" spans="1:5" x14ac:dyDescent="0.25">
      <c r="A67" s="25">
        <v>45871</v>
      </c>
      <c r="B67" s="10" t="s">
        <v>67</v>
      </c>
      <c r="C67" s="16">
        <v>101000</v>
      </c>
      <c r="D67" s="16"/>
      <c r="E67" s="19"/>
    </row>
    <row r="68" spans="1:5" x14ac:dyDescent="0.25">
      <c r="A68" s="25">
        <v>45872</v>
      </c>
      <c r="B68" s="10" t="s">
        <v>61</v>
      </c>
      <c r="C68" s="20"/>
      <c r="D68" s="16">
        <v>1000000</v>
      </c>
      <c r="E68" s="19"/>
    </row>
    <row r="69" spans="1:5" x14ac:dyDescent="0.25">
      <c r="A69" s="25">
        <v>45873</v>
      </c>
      <c r="B69" s="10" t="s">
        <v>62</v>
      </c>
      <c r="C69" s="20"/>
      <c r="D69" s="16">
        <v>362000</v>
      </c>
      <c r="E69" s="19"/>
    </row>
    <row r="70" spans="1:5" x14ac:dyDescent="0.25">
      <c r="A70" s="25">
        <v>45874</v>
      </c>
      <c r="B70" s="10" t="s">
        <v>63</v>
      </c>
      <c r="C70" s="20"/>
      <c r="D70" s="16">
        <v>281500</v>
      </c>
      <c r="E70" s="19"/>
    </row>
    <row r="71" spans="1:5" x14ac:dyDescent="0.25">
      <c r="A71" s="25">
        <v>45875</v>
      </c>
      <c r="B71" s="10" t="s">
        <v>64</v>
      </c>
      <c r="C71" s="20"/>
      <c r="D71" s="16">
        <v>1546300</v>
      </c>
      <c r="E71" s="19"/>
    </row>
    <row r="72" spans="1:5" x14ac:dyDescent="0.25">
      <c r="A72" s="25">
        <v>45876</v>
      </c>
      <c r="B72" s="10" t="s">
        <v>65</v>
      </c>
      <c r="C72" s="20"/>
      <c r="D72" s="16">
        <v>1000000</v>
      </c>
      <c r="E72" s="19"/>
    </row>
    <row r="73" spans="1:5" x14ac:dyDescent="0.25">
      <c r="A73" s="25">
        <v>45877</v>
      </c>
      <c r="B73" s="10" t="s">
        <v>66</v>
      </c>
      <c r="C73" s="20">
        <v>860000</v>
      </c>
      <c r="D73" s="16"/>
      <c r="E73" s="19"/>
    </row>
    <row r="74" spans="1:5" x14ac:dyDescent="0.25">
      <c r="A74" s="25">
        <v>45910</v>
      </c>
      <c r="B74" s="29" t="s">
        <v>71</v>
      </c>
      <c r="C74" s="16">
        <v>1620000</v>
      </c>
      <c r="D74" s="17"/>
      <c r="E74" s="19"/>
    </row>
    <row r="75" spans="1:5" x14ac:dyDescent="0.25">
      <c r="A75" s="25">
        <v>45911</v>
      </c>
      <c r="B75" s="29" t="s">
        <v>72</v>
      </c>
      <c r="C75" s="16">
        <v>11975</v>
      </c>
      <c r="D75" s="17"/>
      <c r="E75" s="19"/>
    </row>
    <row r="76" spans="1:5" x14ac:dyDescent="0.25">
      <c r="A76" s="25">
        <v>45912</v>
      </c>
      <c r="B76" s="9" t="s">
        <v>129</v>
      </c>
      <c r="C76" s="16">
        <v>360000</v>
      </c>
      <c r="D76" s="17"/>
      <c r="E76" s="19"/>
    </row>
    <row r="77" spans="1:5" x14ac:dyDescent="0.25">
      <c r="A77" s="25">
        <v>45913</v>
      </c>
      <c r="B77" s="9" t="s">
        <v>130</v>
      </c>
      <c r="C77" s="16">
        <v>140000</v>
      </c>
      <c r="D77" s="17"/>
      <c r="E77" s="19"/>
    </row>
    <row r="78" spans="1:5" x14ac:dyDescent="0.25">
      <c r="A78" s="25">
        <v>45914</v>
      </c>
      <c r="B78" s="9" t="s">
        <v>69</v>
      </c>
      <c r="C78" s="16">
        <v>140000</v>
      </c>
      <c r="D78" s="17"/>
      <c r="E78" s="19"/>
    </row>
    <row r="79" spans="1:5" x14ac:dyDescent="0.25">
      <c r="A79" s="25">
        <v>45915</v>
      </c>
      <c r="B79" s="9" t="s">
        <v>70</v>
      </c>
      <c r="C79" s="16">
        <v>600000</v>
      </c>
      <c r="D79" s="17"/>
      <c r="E79" s="19"/>
    </row>
    <row r="80" spans="1:5" x14ac:dyDescent="0.25">
      <c r="A80" s="25">
        <v>45932</v>
      </c>
      <c r="B80" s="29" t="s">
        <v>183</v>
      </c>
      <c r="C80" s="16">
        <v>1700200</v>
      </c>
      <c r="D80" s="17"/>
      <c r="E80" s="19"/>
    </row>
    <row r="81" spans="1:5" x14ac:dyDescent="0.25">
      <c r="A81" s="25">
        <v>45933</v>
      </c>
      <c r="B81" s="29" t="s">
        <v>182</v>
      </c>
      <c r="C81" s="16">
        <v>120000</v>
      </c>
      <c r="D81" s="17"/>
      <c r="E81" s="19"/>
    </row>
    <row r="82" spans="1:5" x14ac:dyDescent="0.25">
      <c r="A82" s="25">
        <v>45934</v>
      </c>
      <c r="B82" s="29" t="s">
        <v>181</v>
      </c>
      <c r="C82" s="16">
        <v>40000</v>
      </c>
      <c r="D82" s="17"/>
      <c r="E82" s="19"/>
    </row>
    <row r="83" spans="1:5" x14ac:dyDescent="0.25">
      <c r="A83" s="25">
        <v>45935</v>
      </c>
      <c r="B83" s="9" t="s">
        <v>180</v>
      </c>
      <c r="C83" s="16"/>
      <c r="D83" s="17">
        <v>600000</v>
      </c>
      <c r="E83" s="19"/>
    </row>
    <row r="84" spans="1:5" x14ac:dyDescent="0.25">
      <c r="A84" s="25">
        <v>45936</v>
      </c>
      <c r="B84" s="29" t="s">
        <v>179</v>
      </c>
      <c r="C84" s="16">
        <v>120000</v>
      </c>
      <c r="D84" s="17"/>
      <c r="E84" s="19"/>
    </row>
    <row r="85" spans="1:5" x14ac:dyDescent="0.25">
      <c r="A85" s="25">
        <v>45937</v>
      </c>
      <c r="B85" s="29" t="s">
        <v>178</v>
      </c>
      <c r="C85" s="16"/>
      <c r="D85" s="17">
        <v>133200</v>
      </c>
      <c r="E85" s="19"/>
    </row>
    <row r="86" spans="1:5" x14ac:dyDescent="0.25">
      <c r="A86" s="25">
        <v>45938</v>
      </c>
      <c r="B86" s="29" t="s">
        <v>177</v>
      </c>
      <c r="C86" s="16"/>
      <c r="D86" s="17">
        <v>17290</v>
      </c>
      <c r="E86" s="19"/>
    </row>
    <row r="87" spans="1:5" x14ac:dyDescent="0.25">
      <c r="A87" s="25">
        <v>45939</v>
      </c>
      <c r="B87" s="29" t="s">
        <v>169</v>
      </c>
      <c r="C87" s="16"/>
      <c r="D87" s="17">
        <v>211762</v>
      </c>
      <c r="E87" s="19"/>
    </row>
    <row r="88" spans="1:5" x14ac:dyDescent="0.25">
      <c r="A88" s="25">
        <v>45940</v>
      </c>
      <c r="B88" s="29" t="s">
        <v>170</v>
      </c>
      <c r="C88" s="16"/>
      <c r="D88" s="17">
        <v>53144</v>
      </c>
      <c r="E88" s="19"/>
    </row>
    <row r="89" spans="1:5" x14ac:dyDescent="0.25">
      <c r="A89" s="25">
        <v>45941</v>
      </c>
      <c r="B89" s="29" t="s">
        <v>171</v>
      </c>
      <c r="C89" s="16"/>
      <c r="D89" s="17">
        <v>39800</v>
      </c>
      <c r="E89" s="19"/>
    </row>
    <row r="90" spans="1:5" x14ac:dyDescent="0.25">
      <c r="A90" s="25">
        <v>45942</v>
      </c>
      <c r="B90" s="29" t="s">
        <v>171</v>
      </c>
      <c r="C90" s="16"/>
      <c r="D90" s="17">
        <v>63200</v>
      </c>
      <c r="E90" s="19"/>
    </row>
    <row r="91" spans="1:5" x14ac:dyDescent="0.25">
      <c r="A91" s="25">
        <v>45943</v>
      </c>
      <c r="B91" s="29" t="s">
        <v>172</v>
      </c>
      <c r="C91" s="16"/>
      <c r="D91" s="17">
        <v>190000</v>
      </c>
      <c r="E91" s="19"/>
    </row>
    <row r="92" spans="1:5" x14ac:dyDescent="0.25">
      <c r="A92" s="25">
        <v>45944</v>
      </c>
      <c r="B92" s="29" t="s">
        <v>173</v>
      </c>
      <c r="C92" s="16"/>
      <c r="D92" s="17">
        <v>464000</v>
      </c>
      <c r="E92" s="19"/>
    </row>
    <row r="93" spans="1:5" x14ac:dyDescent="0.25">
      <c r="A93" s="25">
        <v>45945</v>
      </c>
      <c r="B93" s="29" t="s">
        <v>174</v>
      </c>
      <c r="C93" s="16">
        <v>120000</v>
      </c>
      <c r="D93" s="17"/>
      <c r="E93" s="19"/>
    </row>
    <row r="94" spans="1:5" x14ac:dyDescent="0.25">
      <c r="A94" s="25">
        <v>45963</v>
      </c>
      <c r="B94" s="29" t="s">
        <v>175</v>
      </c>
      <c r="C94" s="16">
        <v>450000</v>
      </c>
      <c r="D94" s="17"/>
      <c r="E94" s="19"/>
    </row>
    <row r="95" spans="1:5" x14ac:dyDescent="0.25">
      <c r="A95" s="25">
        <v>45964</v>
      </c>
      <c r="B95" s="29" t="s">
        <v>176</v>
      </c>
      <c r="C95" s="16">
        <v>80000</v>
      </c>
      <c r="D95" s="17"/>
      <c r="E95" s="19"/>
    </row>
    <row r="96" spans="1:5" x14ac:dyDescent="0.25">
      <c r="A96" s="25">
        <v>45965</v>
      </c>
      <c r="B96" s="29" t="s">
        <v>152</v>
      </c>
      <c r="C96" s="16">
        <v>240000</v>
      </c>
      <c r="D96" s="17"/>
      <c r="E96" s="19"/>
    </row>
    <row r="97" spans="1:5" x14ac:dyDescent="0.25">
      <c r="A97" s="25">
        <v>45966</v>
      </c>
      <c r="B97" s="9" t="s">
        <v>153</v>
      </c>
      <c r="C97" s="16">
        <v>120000</v>
      </c>
      <c r="D97" s="17"/>
      <c r="E97" s="19"/>
    </row>
    <row r="98" spans="1:5" x14ac:dyDescent="0.25">
      <c r="A98" s="25">
        <v>45967</v>
      </c>
      <c r="B98" s="29" t="s">
        <v>154</v>
      </c>
      <c r="C98" s="16">
        <v>120000</v>
      </c>
      <c r="D98" s="17"/>
      <c r="E98" s="19"/>
    </row>
    <row r="99" spans="1:5" x14ac:dyDescent="0.25">
      <c r="A99" s="25">
        <v>45968</v>
      </c>
      <c r="B99" s="29" t="s">
        <v>148</v>
      </c>
      <c r="C99" s="16"/>
      <c r="D99" s="17">
        <v>100000</v>
      </c>
      <c r="E99" s="19"/>
    </row>
    <row r="100" spans="1:5" x14ac:dyDescent="0.25">
      <c r="A100" s="25">
        <v>45969</v>
      </c>
      <c r="B100" s="29" t="s">
        <v>147</v>
      </c>
      <c r="C100" s="16"/>
      <c r="D100" s="17">
        <v>100000</v>
      </c>
      <c r="E100" s="19"/>
    </row>
    <row r="101" spans="1:5" x14ac:dyDescent="0.25">
      <c r="A101" s="25">
        <v>45970</v>
      </c>
      <c r="B101" s="29" t="s">
        <v>157</v>
      </c>
      <c r="C101" s="16"/>
      <c r="D101" s="17">
        <v>100000</v>
      </c>
      <c r="E101" s="19"/>
    </row>
    <row r="102" spans="1:5" x14ac:dyDescent="0.25">
      <c r="A102" s="25">
        <v>45971</v>
      </c>
      <c r="B102" s="29" t="s">
        <v>146</v>
      </c>
      <c r="C102" s="16"/>
      <c r="D102" s="17">
        <v>100000</v>
      </c>
      <c r="E102" s="19"/>
    </row>
    <row r="103" spans="1:5" x14ac:dyDescent="0.25">
      <c r="A103" s="25">
        <v>45972</v>
      </c>
      <c r="B103" s="29" t="s">
        <v>158</v>
      </c>
      <c r="C103" s="16"/>
      <c r="D103" s="17">
        <v>100000</v>
      </c>
      <c r="E103" s="19"/>
    </row>
    <row r="104" spans="1:5" x14ac:dyDescent="0.25">
      <c r="A104" s="25">
        <v>45973</v>
      </c>
      <c r="B104" s="29" t="s">
        <v>145</v>
      </c>
      <c r="C104" s="16"/>
      <c r="D104" s="17">
        <v>90000</v>
      </c>
      <c r="E104" s="19"/>
    </row>
    <row r="105" spans="1:5" x14ac:dyDescent="0.25">
      <c r="A105" s="25">
        <v>45974</v>
      </c>
      <c r="B105" s="29" t="s">
        <v>144</v>
      </c>
      <c r="C105" s="16"/>
      <c r="D105" s="17">
        <v>90000</v>
      </c>
      <c r="E105" s="19"/>
    </row>
    <row r="106" spans="1:5" x14ac:dyDescent="0.25">
      <c r="A106" s="25">
        <v>45975</v>
      </c>
      <c r="B106" s="29" t="s">
        <v>151</v>
      </c>
      <c r="C106" s="16">
        <v>240000</v>
      </c>
      <c r="D106" s="17"/>
      <c r="E106" s="19"/>
    </row>
    <row r="107" spans="1:5" x14ac:dyDescent="0.25">
      <c r="A107" s="25">
        <v>45976</v>
      </c>
      <c r="B107" s="29" t="s">
        <v>163</v>
      </c>
      <c r="C107" s="16">
        <v>560000</v>
      </c>
      <c r="D107" s="17"/>
      <c r="E107" s="19"/>
    </row>
    <row r="108" spans="1:5" x14ac:dyDescent="0.25">
      <c r="A108" s="25">
        <v>45977</v>
      </c>
      <c r="B108" s="29" t="s">
        <v>155</v>
      </c>
      <c r="C108" s="16">
        <v>153578</v>
      </c>
      <c r="D108" s="17"/>
      <c r="E108" s="19"/>
    </row>
    <row r="109" spans="1:5" x14ac:dyDescent="0.25">
      <c r="A109" s="25">
        <v>45978</v>
      </c>
      <c r="B109" s="29" t="s">
        <v>162</v>
      </c>
      <c r="C109" s="16"/>
      <c r="D109" s="17">
        <v>153578</v>
      </c>
      <c r="E109" s="19"/>
    </row>
    <row r="110" spans="1:5" x14ac:dyDescent="0.25">
      <c r="A110" s="25">
        <v>45979</v>
      </c>
      <c r="B110" s="29" t="s">
        <v>156</v>
      </c>
      <c r="C110" s="16"/>
      <c r="D110" s="17">
        <v>18000</v>
      </c>
      <c r="E110" s="19"/>
    </row>
    <row r="111" spans="1:5" x14ac:dyDescent="0.25">
      <c r="A111" s="25">
        <v>45980</v>
      </c>
      <c r="B111" s="29" t="s">
        <v>150</v>
      </c>
      <c r="C111" s="16">
        <v>240000</v>
      </c>
      <c r="D111" s="17"/>
      <c r="E111" s="19"/>
    </row>
    <row r="112" spans="1:5" x14ac:dyDescent="0.25">
      <c r="A112" s="25">
        <v>45981</v>
      </c>
      <c r="B112" s="29" t="s">
        <v>149</v>
      </c>
      <c r="C112" s="16">
        <v>240000</v>
      </c>
      <c r="D112" s="17"/>
      <c r="E112" s="19"/>
    </row>
    <row r="113" spans="1:5" x14ac:dyDescent="0.25">
      <c r="A113" s="25">
        <v>45982</v>
      </c>
      <c r="B113" s="29" t="s">
        <v>143</v>
      </c>
      <c r="C113" s="16"/>
      <c r="D113" s="17">
        <v>80000</v>
      </c>
      <c r="E113" s="19"/>
    </row>
    <row r="114" spans="1:5" x14ac:dyDescent="0.25">
      <c r="A114" s="25">
        <v>45983</v>
      </c>
      <c r="B114" s="29" t="s">
        <v>164</v>
      </c>
      <c r="C114" s="16">
        <v>100000</v>
      </c>
      <c r="D114" s="17"/>
      <c r="E114" s="19"/>
    </row>
    <row r="115" spans="1:5" x14ac:dyDescent="0.25">
      <c r="A115" s="25">
        <v>45984</v>
      </c>
      <c r="B115" s="29" t="s">
        <v>142</v>
      </c>
      <c r="C115" s="16"/>
      <c r="D115" s="17">
        <v>90000</v>
      </c>
      <c r="E115" s="19"/>
    </row>
    <row r="116" spans="1:5" x14ac:dyDescent="0.25">
      <c r="A116" s="25">
        <v>45985</v>
      </c>
      <c r="B116" s="29" t="s">
        <v>166</v>
      </c>
      <c r="C116" s="16"/>
      <c r="D116" s="17">
        <v>55000</v>
      </c>
      <c r="E116" s="19"/>
    </row>
    <row r="117" spans="1:5" x14ac:dyDescent="0.25">
      <c r="A117" s="25">
        <v>45986</v>
      </c>
      <c r="B117" s="29" t="s">
        <v>165</v>
      </c>
      <c r="C117" s="16"/>
      <c r="D117" s="17">
        <v>1348216</v>
      </c>
      <c r="E117" s="19"/>
    </row>
    <row r="118" spans="1:5" x14ac:dyDescent="0.25">
      <c r="A118" s="25">
        <v>45987</v>
      </c>
      <c r="B118" s="29" t="s">
        <v>167</v>
      </c>
      <c r="C118" s="16"/>
      <c r="D118" s="17">
        <v>1783702</v>
      </c>
      <c r="E118" s="19"/>
    </row>
    <row r="119" spans="1:5" x14ac:dyDescent="0.25">
      <c r="A119" s="25">
        <v>45988</v>
      </c>
      <c r="B119" s="29" t="s">
        <v>161</v>
      </c>
      <c r="C119" s="16">
        <v>240000</v>
      </c>
      <c r="D119" s="17"/>
      <c r="E119" s="19"/>
    </row>
    <row r="120" spans="1:5" x14ac:dyDescent="0.25">
      <c r="A120" s="25">
        <v>45989</v>
      </c>
      <c r="B120" s="29" t="s">
        <v>168</v>
      </c>
      <c r="C120" s="16">
        <v>217158</v>
      </c>
      <c r="D120" s="17"/>
      <c r="E120" s="19"/>
    </row>
    <row r="121" spans="1:5" x14ac:dyDescent="0.25">
      <c r="A121" s="25">
        <v>45990</v>
      </c>
      <c r="B121" s="29" t="s">
        <v>139</v>
      </c>
      <c r="C121" s="16"/>
      <c r="D121" s="17">
        <v>100000</v>
      </c>
      <c r="E121" s="19"/>
    </row>
    <row r="122" spans="1:5" x14ac:dyDescent="0.25">
      <c r="A122" s="25">
        <v>45991</v>
      </c>
      <c r="B122" s="29" t="s">
        <v>140</v>
      </c>
      <c r="C122" s="16"/>
      <c r="D122" s="17">
        <v>100000</v>
      </c>
      <c r="E122" s="19"/>
    </row>
    <row r="123" spans="1:5" x14ac:dyDescent="0.25">
      <c r="A123" s="25">
        <v>45991</v>
      </c>
      <c r="B123" s="29" t="s">
        <v>141</v>
      </c>
      <c r="C123" s="16"/>
      <c r="D123" s="17">
        <v>100000</v>
      </c>
      <c r="E123" s="19"/>
    </row>
    <row r="124" spans="1:5" x14ac:dyDescent="0.25">
      <c r="A124" s="25">
        <v>45991</v>
      </c>
      <c r="B124" s="29" t="s">
        <v>184</v>
      </c>
      <c r="C124" s="16">
        <v>100000</v>
      </c>
      <c r="D124" s="17"/>
      <c r="E124" s="19"/>
    </row>
    <row r="125" spans="1:5" x14ac:dyDescent="0.25">
      <c r="A125" s="25">
        <v>45991</v>
      </c>
      <c r="B125" s="29" t="s">
        <v>136</v>
      </c>
      <c r="C125" s="16">
        <v>160000</v>
      </c>
      <c r="D125" s="17"/>
      <c r="E125" s="19"/>
    </row>
    <row r="126" spans="1:5" x14ac:dyDescent="0.25">
      <c r="A126" s="25">
        <v>45992</v>
      </c>
      <c r="B126" s="3" t="s">
        <v>73</v>
      </c>
      <c r="C126" s="17">
        <v>80000</v>
      </c>
      <c r="D126" s="17"/>
      <c r="E126" s="19"/>
    </row>
    <row r="127" spans="1:5" x14ac:dyDescent="0.25">
      <c r="A127" s="25">
        <v>45993</v>
      </c>
      <c r="B127" s="3" t="s">
        <v>74</v>
      </c>
      <c r="C127" s="17">
        <v>80000</v>
      </c>
      <c r="D127" s="17"/>
      <c r="E127" s="19"/>
    </row>
    <row r="128" spans="1:5" x14ac:dyDescent="0.25">
      <c r="A128" s="25">
        <v>45994</v>
      </c>
      <c r="B128" s="3" t="s">
        <v>75</v>
      </c>
      <c r="C128" s="17">
        <v>80000</v>
      </c>
      <c r="D128" s="17"/>
      <c r="E128" s="19"/>
    </row>
    <row r="129" spans="1:5" x14ac:dyDescent="0.25">
      <c r="A129" s="25">
        <v>45995</v>
      </c>
      <c r="B129" s="9" t="s">
        <v>76</v>
      </c>
      <c r="C129" s="17">
        <v>80000</v>
      </c>
      <c r="D129" s="17"/>
      <c r="E129" s="19"/>
    </row>
    <row r="130" spans="1:5" x14ac:dyDescent="0.25">
      <c r="A130" s="25">
        <v>45996</v>
      </c>
      <c r="B130" s="3" t="s">
        <v>77</v>
      </c>
      <c r="C130" s="17">
        <v>100000</v>
      </c>
      <c r="D130" s="17"/>
      <c r="E130" s="19"/>
    </row>
    <row r="131" spans="1:5" x14ac:dyDescent="0.25">
      <c r="A131" s="25">
        <v>45997</v>
      </c>
      <c r="B131" s="3" t="s">
        <v>78</v>
      </c>
      <c r="C131" s="17">
        <v>160000</v>
      </c>
      <c r="D131" s="17"/>
      <c r="E131" s="19"/>
    </row>
    <row r="132" spans="1:5" x14ac:dyDescent="0.25">
      <c r="A132" s="25">
        <v>45998</v>
      </c>
      <c r="B132" s="3" t="s">
        <v>79</v>
      </c>
      <c r="C132" s="17">
        <v>80000</v>
      </c>
      <c r="D132" s="17"/>
      <c r="E132" s="19"/>
    </row>
    <row r="133" spans="1:5" x14ac:dyDescent="0.25">
      <c r="A133" s="25">
        <v>45999</v>
      </c>
      <c r="B133" s="3" t="s">
        <v>80</v>
      </c>
      <c r="C133" s="17">
        <v>160000</v>
      </c>
      <c r="D133" s="17"/>
      <c r="E133" s="19"/>
    </row>
    <row r="134" spans="1:5" x14ac:dyDescent="0.25">
      <c r="A134" s="25">
        <v>46000</v>
      </c>
      <c r="B134" s="3" t="s">
        <v>81</v>
      </c>
      <c r="C134" s="17">
        <v>160000</v>
      </c>
      <c r="D134" s="17"/>
      <c r="E134" s="19"/>
    </row>
    <row r="135" spans="1:5" x14ac:dyDescent="0.25">
      <c r="A135" s="25">
        <v>46001</v>
      </c>
      <c r="B135" s="3" t="s">
        <v>82</v>
      </c>
      <c r="C135" s="17">
        <v>160000</v>
      </c>
      <c r="D135" s="17"/>
      <c r="E135" s="19"/>
    </row>
    <row r="136" spans="1:5" x14ac:dyDescent="0.25">
      <c r="A136" s="25">
        <v>46002</v>
      </c>
      <c r="B136" s="3" t="s">
        <v>83</v>
      </c>
      <c r="C136" s="17">
        <v>80000</v>
      </c>
      <c r="D136" s="17"/>
      <c r="E136" s="19"/>
    </row>
    <row r="137" spans="1:5" x14ac:dyDescent="0.25">
      <c r="A137" s="25">
        <v>46003</v>
      </c>
      <c r="B137" s="3" t="s">
        <v>84</v>
      </c>
      <c r="C137" s="17">
        <v>80000</v>
      </c>
      <c r="D137" s="17"/>
      <c r="E137" s="19"/>
    </row>
    <row r="138" spans="1:5" x14ac:dyDescent="0.25">
      <c r="A138" s="25">
        <v>46004</v>
      </c>
      <c r="B138" s="3" t="s">
        <v>85</v>
      </c>
      <c r="C138" s="17">
        <v>80000</v>
      </c>
      <c r="D138" s="17"/>
      <c r="E138" s="19"/>
    </row>
    <row r="139" spans="1:5" x14ac:dyDescent="0.25">
      <c r="A139" s="25">
        <v>46005</v>
      </c>
      <c r="B139" s="3" t="s">
        <v>86</v>
      </c>
      <c r="C139" s="17">
        <v>80000</v>
      </c>
      <c r="D139" s="17"/>
      <c r="E139" s="19"/>
    </row>
    <row r="140" spans="1:5" x14ac:dyDescent="0.25">
      <c r="A140" s="25">
        <v>46006</v>
      </c>
      <c r="B140" s="3" t="s">
        <v>87</v>
      </c>
      <c r="C140" s="17">
        <v>80000</v>
      </c>
      <c r="D140" s="17"/>
      <c r="E140" s="19"/>
    </row>
    <row r="141" spans="1:5" x14ac:dyDescent="0.25">
      <c r="A141" s="25">
        <v>46007</v>
      </c>
      <c r="B141" s="3" t="s">
        <v>88</v>
      </c>
      <c r="C141" s="17">
        <v>80000</v>
      </c>
      <c r="D141" s="17"/>
      <c r="E141" s="19"/>
    </row>
    <row r="142" spans="1:5" x14ac:dyDescent="0.25">
      <c r="A142" s="25">
        <v>46008</v>
      </c>
      <c r="B142" s="3" t="s">
        <v>89</v>
      </c>
      <c r="C142" s="17">
        <v>80000</v>
      </c>
      <c r="D142" s="17"/>
      <c r="E142" s="19"/>
    </row>
    <row r="143" spans="1:5" x14ac:dyDescent="0.25">
      <c r="A143" s="25">
        <v>46009</v>
      </c>
      <c r="B143" s="3" t="s">
        <v>90</v>
      </c>
      <c r="C143" s="17">
        <v>80000</v>
      </c>
      <c r="D143" s="17"/>
      <c r="E143" s="19"/>
    </row>
    <row r="144" spans="1:5" x14ac:dyDescent="0.25">
      <c r="A144" s="25">
        <v>46010</v>
      </c>
      <c r="B144" s="3" t="s">
        <v>91</v>
      </c>
      <c r="C144" s="17">
        <v>80000</v>
      </c>
      <c r="D144" s="17"/>
      <c r="E144" s="19"/>
    </row>
    <row r="145" spans="1:5" x14ac:dyDescent="0.25">
      <c r="A145" s="25">
        <v>46011</v>
      </c>
      <c r="B145" s="3" t="s">
        <v>92</v>
      </c>
      <c r="C145" s="17">
        <v>80000</v>
      </c>
      <c r="D145" s="17"/>
      <c r="E145" s="19"/>
    </row>
    <row r="146" spans="1:5" x14ac:dyDescent="0.25">
      <c r="A146" s="25">
        <v>46012</v>
      </c>
      <c r="B146" s="3" t="s">
        <v>93</v>
      </c>
      <c r="C146" s="17">
        <v>80000</v>
      </c>
      <c r="D146" s="17"/>
      <c r="E146" s="19"/>
    </row>
    <row r="147" spans="1:5" x14ac:dyDescent="0.25">
      <c r="A147" s="25">
        <v>46013</v>
      </c>
      <c r="B147" s="3" t="s">
        <v>94</v>
      </c>
      <c r="C147" s="17">
        <v>80000</v>
      </c>
      <c r="D147" s="17"/>
      <c r="E147" s="19"/>
    </row>
    <row r="148" spans="1:5" x14ac:dyDescent="0.25">
      <c r="A148" s="25">
        <v>46014</v>
      </c>
      <c r="B148" s="3" t="s">
        <v>95</v>
      </c>
      <c r="C148" s="17">
        <v>80000</v>
      </c>
      <c r="D148" s="17"/>
      <c r="E148" s="19"/>
    </row>
    <row r="149" spans="1:5" x14ac:dyDescent="0.25">
      <c r="A149" s="25">
        <v>46015</v>
      </c>
      <c r="B149" s="9" t="s">
        <v>96</v>
      </c>
      <c r="C149" s="17">
        <v>160000</v>
      </c>
      <c r="D149" s="17"/>
      <c r="E149" s="19"/>
    </row>
    <row r="150" spans="1:5" x14ac:dyDescent="0.25">
      <c r="A150" s="25">
        <v>46016</v>
      </c>
      <c r="B150" s="9" t="s">
        <v>97</v>
      </c>
      <c r="C150" s="17">
        <v>60000</v>
      </c>
      <c r="D150" s="17"/>
      <c r="E150" s="19"/>
    </row>
    <row r="151" spans="1:5" x14ac:dyDescent="0.25">
      <c r="A151" s="25">
        <v>46017</v>
      </c>
      <c r="B151" s="9" t="s">
        <v>98</v>
      </c>
      <c r="C151" s="17">
        <v>240000</v>
      </c>
      <c r="D151" s="17"/>
      <c r="E151" s="19"/>
    </row>
    <row r="152" spans="1:5" x14ac:dyDescent="0.25">
      <c r="A152" s="25">
        <v>46018</v>
      </c>
      <c r="B152" s="9" t="s">
        <v>99</v>
      </c>
      <c r="C152" s="17">
        <v>240000</v>
      </c>
      <c r="D152" s="17"/>
      <c r="E152" s="19"/>
    </row>
    <row r="153" spans="1:5" x14ac:dyDescent="0.25">
      <c r="A153" s="25">
        <v>46019</v>
      </c>
      <c r="B153" s="9" t="s">
        <v>100</v>
      </c>
      <c r="C153" s="17">
        <v>240000</v>
      </c>
      <c r="D153" s="17"/>
      <c r="E153" s="19"/>
    </row>
    <row r="154" spans="1:5" x14ac:dyDescent="0.25">
      <c r="A154" s="25">
        <v>46020</v>
      </c>
      <c r="B154" s="9" t="s">
        <v>101</v>
      </c>
      <c r="C154" s="17">
        <v>240000</v>
      </c>
      <c r="D154" s="17"/>
      <c r="E154" s="19"/>
    </row>
    <row r="155" spans="1:5" x14ac:dyDescent="0.25">
      <c r="A155" s="25">
        <v>46020</v>
      </c>
      <c r="B155" s="9" t="s">
        <v>108</v>
      </c>
      <c r="C155" s="17">
        <v>20000</v>
      </c>
      <c r="D155" s="17"/>
      <c r="E155" s="19"/>
    </row>
    <row r="156" spans="1:5" x14ac:dyDescent="0.25">
      <c r="A156" s="25">
        <v>46020</v>
      </c>
      <c r="B156" s="9" t="s">
        <v>102</v>
      </c>
      <c r="C156" s="17">
        <v>150000</v>
      </c>
      <c r="D156" s="17"/>
      <c r="E156" s="19"/>
    </row>
    <row r="157" spans="1:5" x14ac:dyDescent="0.25">
      <c r="A157" s="25">
        <v>46020</v>
      </c>
      <c r="B157" s="9" t="s">
        <v>103</v>
      </c>
      <c r="C157" s="17">
        <v>140000</v>
      </c>
      <c r="D157" s="17"/>
      <c r="E157" s="19"/>
    </row>
    <row r="158" spans="1:5" x14ac:dyDescent="0.25">
      <c r="A158" s="25">
        <v>46020</v>
      </c>
      <c r="B158" s="9" t="s">
        <v>104</v>
      </c>
      <c r="C158" s="17">
        <v>240000</v>
      </c>
      <c r="D158" s="17"/>
      <c r="E158" s="19"/>
    </row>
    <row r="159" spans="1:5" x14ac:dyDescent="0.25">
      <c r="A159" s="25">
        <v>46020</v>
      </c>
      <c r="B159" s="9" t="s">
        <v>105</v>
      </c>
      <c r="C159" s="17">
        <v>120000</v>
      </c>
      <c r="D159" s="17"/>
      <c r="E159" s="19"/>
    </row>
    <row r="160" spans="1:5" x14ac:dyDescent="0.25">
      <c r="A160" s="25">
        <v>46020</v>
      </c>
      <c r="B160" s="9" t="s">
        <v>106</v>
      </c>
      <c r="C160" s="17">
        <v>60000</v>
      </c>
      <c r="D160" s="17"/>
      <c r="E160" s="19"/>
    </row>
    <row r="161" spans="1:5" x14ac:dyDescent="0.25">
      <c r="A161" s="25">
        <v>46020</v>
      </c>
      <c r="B161" s="9" t="s">
        <v>107</v>
      </c>
      <c r="C161" s="17">
        <v>60000</v>
      </c>
      <c r="D161" s="17"/>
      <c r="E161" s="19"/>
    </row>
    <row r="162" spans="1:5" x14ac:dyDescent="0.25">
      <c r="A162" s="25">
        <v>46020</v>
      </c>
      <c r="B162" s="9" t="s">
        <v>109</v>
      </c>
      <c r="C162" s="17">
        <v>240000</v>
      </c>
      <c r="D162" s="17"/>
      <c r="E162" s="19"/>
    </row>
    <row r="163" spans="1:5" x14ac:dyDescent="0.25">
      <c r="A163" s="25">
        <v>46020</v>
      </c>
      <c r="B163" s="9" t="s">
        <v>110</v>
      </c>
      <c r="C163" s="17">
        <v>240000</v>
      </c>
      <c r="D163" s="17"/>
      <c r="E163" s="19"/>
    </row>
    <row r="164" spans="1:5" x14ac:dyDescent="0.25">
      <c r="A164" s="25">
        <v>46020</v>
      </c>
      <c r="B164" s="9" t="s">
        <v>111</v>
      </c>
      <c r="C164" s="17">
        <v>188799</v>
      </c>
      <c r="D164" s="17"/>
      <c r="E164" s="19"/>
    </row>
    <row r="165" spans="1:5" x14ac:dyDescent="0.25">
      <c r="A165" s="25">
        <v>46020</v>
      </c>
      <c r="B165" s="9" t="s">
        <v>112</v>
      </c>
      <c r="C165" s="17">
        <v>188799</v>
      </c>
      <c r="D165" s="17"/>
      <c r="E165" s="19"/>
    </row>
    <row r="166" spans="1:5" x14ac:dyDescent="0.25">
      <c r="A166" s="25">
        <v>46020</v>
      </c>
      <c r="B166" s="9" t="s">
        <v>113</v>
      </c>
      <c r="C166" s="17">
        <v>153579</v>
      </c>
      <c r="D166" s="17"/>
      <c r="E166" s="19"/>
    </row>
    <row r="167" spans="1:5" x14ac:dyDescent="0.25">
      <c r="A167" s="25">
        <v>46020</v>
      </c>
      <c r="B167" s="9" t="s">
        <v>114</v>
      </c>
      <c r="C167" s="17">
        <v>40000</v>
      </c>
      <c r="D167" s="17"/>
      <c r="E167" s="19"/>
    </row>
    <row r="168" spans="1:5" x14ac:dyDescent="0.25">
      <c r="A168" s="25">
        <v>46020</v>
      </c>
      <c r="B168" s="9" t="s">
        <v>115</v>
      </c>
      <c r="C168" s="17">
        <v>80000</v>
      </c>
      <c r="D168" s="17"/>
      <c r="E168" s="19"/>
    </row>
    <row r="169" spans="1:5" x14ac:dyDescent="0.25">
      <c r="A169" s="25">
        <v>46020</v>
      </c>
      <c r="B169" s="9" t="s">
        <v>116</v>
      </c>
      <c r="C169" s="17">
        <v>80000</v>
      </c>
      <c r="D169" s="17"/>
      <c r="E169" s="19"/>
    </row>
    <row r="170" spans="1:5" x14ac:dyDescent="0.25">
      <c r="A170" s="25">
        <v>46020</v>
      </c>
      <c r="B170" s="9" t="s">
        <v>117</v>
      </c>
      <c r="C170" s="17">
        <v>160000</v>
      </c>
      <c r="D170" s="17"/>
      <c r="E170" s="19"/>
    </row>
    <row r="171" spans="1:5" x14ac:dyDescent="0.25">
      <c r="A171" s="25">
        <v>46020</v>
      </c>
      <c r="B171" s="9" t="s">
        <v>118</v>
      </c>
      <c r="C171" s="17">
        <v>40000</v>
      </c>
      <c r="D171" s="17"/>
      <c r="E171" s="19"/>
    </row>
    <row r="172" spans="1:5" x14ac:dyDescent="0.25">
      <c r="A172" s="25">
        <v>46020</v>
      </c>
      <c r="B172" s="9" t="s">
        <v>119</v>
      </c>
      <c r="C172" s="17">
        <v>40000</v>
      </c>
      <c r="D172" s="17"/>
      <c r="E172" s="19"/>
    </row>
    <row r="173" spans="1:5" x14ac:dyDescent="0.25">
      <c r="A173" s="25">
        <v>46020</v>
      </c>
      <c r="B173" s="9" t="s">
        <v>120</v>
      </c>
      <c r="C173" s="17">
        <v>40000</v>
      </c>
      <c r="D173" s="17"/>
      <c r="E173" s="19"/>
    </row>
    <row r="174" spans="1:5" x14ac:dyDescent="0.25">
      <c r="A174" s="25">
        <v>46020</v>
      </c>
      <c r="B174" s="9" t="s">
        <v>121</v>
      </c>
      <c r="C174" s="17">
        <v>80000</v>
      </c>
      <c r="D174" s="17"/>
      <c r="E174" s="19"/>
    </row>
    <row r="175" spans="1:5" x14ac:dyDescent="0.25">
      <c r="A175" s="25">
        <v>46020</v>
      </c>
      <c r="B175" s="9" t="s">
        <v>122</v>
      </c>
      <c r="C175" s="17">
        <v>40000</v>
      </c>
      <c r="D175" s="17"/>
      <c r="E175" s="19"/>
    </row>
    <row r="176" spans="1:5" x14ac:dyDescent="0.25">
      <c r="A176" s="25">
        <v>46020</v>
      </c>
      <c r="B176" s="9" t="s">
        <v>123</v>
      </c>
      <c r="C176" s="17">
        <v>200000</v>
      </c>
      <c r="D176" s="17"/>
      <c r="E176" s="19"/>
    </row>
    <row r="177" spans="1:5" x14ac:dyDescent="0.25">
      <c r="A177" s="25">
        <v>46020</v>
      </c>
      <c r="B177" s="9" t="s">
        <v>128</v>
      </c>
      <c r="C177" s="17">
        <v>40000</v>
      </c>
      <c r="D177" s="17"/>
      <c r="E177" s="19"/>
    </row>
    <row r="178" spans="1:5" x14ac:dyDescent="0.25">
      <c r="A178" s="25">
        <v>46020</v>
      </c>
      <c r="B178" s="9" t="s">
        <v>124</v>
      </c>
      <c r="C178" s="17">
        <v>80000</v>
      </c>
      <c r="D178" s="17"/>
      <c r="E178" s="19"/>
    </row>
    <row r="179" spans="1:5" x14ac:dyDescent="0.25">
      <c r="A179" s="25">
        <v>46020</v>
      </c>
      <c r="B179" s="9" t="s">
        <v>125</v>
      </c>
      <c r="C179" s="17">
        <v>80000</v>
      </c>
      <c r="D179" s="17"/>
      <c r="E179" s="19"/>
    </row>
    <row r="180" spans="1:5" x14ac:dyDescent="0.25">
      <c r="A180" s="25">
        <v>46020</v>
      </c>
      <c r="B180" s="9" t="s">
        <v>126</v>
      </c>
      <c r="C180" s="17">
        <v>40000</v>
      </c>
      <c r="D180" s="17"/>
      <c r="E180" s="19"/>
    </row>
    <row r="181" spans="1:5" x14ac:dyDescent="0.25">
      <c r="A181" s="25">
        <v>46020</v>
      </c>
      <c r="B181" s="9" t="s">
        <v>127</v>
      </c>
      <c r="C181" s="17">
        <v>80000</v>
      </c>
      <c r="D181" s="17"/>
      <c r="E181" s="19"/>
    </row>
    <row r="182" spans="1:5" x14ac:dyDescent="0.25">
      <c r="A182" s="25">
        <v>46020</v>
      </c>
      <c r="B182" s="15" t="s">
        <v>185</v>
      </c>
      <c r="C182" s="16"/>
      <c r="D182" s="17">
        <v>1200000</v>
      </c>
      <c r="E182" s="19"/>
    </row>
    <row r="183" spans="1:5" x14ac:dyDescent="0.25">
      <c r="A183" s="25">
        <v>46020</v>
      </c>
      <c r="B183" s="15" t="s">
        <v>186</v>
      </c>
      <c r="C183" s="16"/>
      <c r="D183" s="17">
        <v>80000</v>
      </c>
      <c r="E183" s="19"/>
    </row>
    <row r="184" spans="1:5" x14ac:dyDescent="0.25">
      <c r="A184" s="25">
        <v>46020</v>
      </c>
      <c r="B184" s="15" t="s">
        <v>187</v>
      </c>
      <c r="C184" s="16"/>
      <c r="D184" s="17">
        <v>80000</v>
      </c>
      <c r="E184" s="19"/>
    </row>
    <row r="185" spans="1:5" x14ac:dyDescent="0.25">
      <c r="A185" s="25">
        <v>46020</v>
      </c>
      <c r="B185" s="15" t="s">
        <v>188</v>
      </c>
      <c r="C185" s="16"/>
      <c r="D185" s="17">
        <v>80000</v>
      </c>
      <c r="E185" s="19"/>
    </row>
    <row r="186" spans="1:5" x14ac:dyDescent="0.25">
      <c r="A186" s="25">
        <v>46020</v>
      </c>
      <c r="B186" s="15" t="s">
        <v>160</v>
      </c>
      <c r="C186" s="16"/>
      <c r="D186" s="17">
        <v>2688962</v>
      </c>
      <c r="E186" s="19"/>
    </row>
    <row r="187" spans="1:5" x14ac:dyDescent="0.25">
      <c r="A187" s="25">
        <v>46020</v>
      </c>
      <c r="B187" s="15" t="s">
        <v>159</v>
      </c>
      <c r="C187" s="16"/>
      <c r="D187" s="17">
        <v>725000</v>
      </c>
      <c r="E187" s="19"/>
    </row>
    <row r="188" spans="1:5" x14ac:dyDescent="0.25">
      <c r="A188" s="25">
        <v>46020</v>
      </c>
      <c r="B188" s="15" t="s">
        <v>189</v>
      </c>
      <c r="C188" s="16"/>
      <c r="D188" s="17">
        <v>80000</v>
      </c>
      <c r="E188" s="19"/>
    </row>
    <row r="189" spans="1:5" x14ac:dyDescent="0.25">
      <c r="A189" s="25">
        <v>46020</v>
      </c>
      <c r="B189" s="15" t="s">
        <v>190</v>
      </c>
      <c r="C189" s="16"/>
      <c r="D189" s="17">
        <v>1439288</v>
      </c>
      <c r="E189" s="19"/>
    </row>
    <row r="190" spans="1:5" x14ac:dyDescent="0.25">
      <c r="A190" s="25">
        <v>46020</v>
      </c>
      <c r="B190" s="15" t="s">
        <v>191</v>
      </c>
      <c r="C190" s="16"/>
      <c r="D190" s="17">
        <v>210000</v>
      </c>
      <c r="E190" s="19"/>
    </row>
    <row r="191" spans="1:5" x14ac:dyDescent="0.25">
      <c r="A191" s="25">
        <v>46020</v>
      </c>
      <c r="B191" s="15" t="s">
        <v>192</v>
      </c>
      <c r="C191" s="16"/>
      <c r="D191" s="17">
        <v>18000</v>
      </c>
      <c r="E191" s="19"/>
    </row>
    <row r="192" spans="1:5" x14ac:dyDescent="0.25">
      <c r="A192" s="25">
        <v>46020</v>
      </c>
      <c r="B192" s="15" t="s">
        <v>137</v>
      </c>
      <c r="C192" s="16"/>
      <c r="D192" s="17">
        <v>129000</v>
      </c>
      <c r="E192" s="19"/>
    </row>
    <row r="193" spans="1:6" x14ac:dyDescent="0.25">
      <c r="A193" s="25">
        <v>46020</v>
      </c>
      <c r="B193" s="15" t="s">
        <v>138</v>
      </c>
      <c r="C193" s="16"/>
      <c r="D193" s="17">
        <v>124368</v>
      </c>
      <c r="E193" s="19"/>
    </row>
    <row r="194" spans="1:6" ht="15.75" x14ac:dyDescent="0.25">
      <c r="A194" s="27"/>
      <c r="B194" s="7"/>
      <c r="C194" s="18">
        <f>SUM(C2:C193)</f>
        <v>34884738</v>
      </c>
      <c r="D194" s="18">
        <f>SUM(D3:D193)</f>
        <v>31613014.48</v>
      </c>
      <c r="E194" s="24">
        <f>(C194)-D194</f>
        <v>3271723.5199999996</v>
      </c>
    </row>
    <row r="201" spans="1:6" x14ac:dyDescent="0.25">
      <c r="F2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A DICIEMBRE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Ponce</dc:creator>
  <cp:keywords/>
  <dc:description/>
  <cp:lastModifiedBy>Daniel  Villamizar</cp:lastModifiedBy>
  <cp:revision/>
  <cp:lastPrinted>2025-05-08T04:16:50Z</cp:lastPrinted>
  <dcterms:created xsi:type="dcterms:W3CDTF">2024-06-05T23:33:21Z</dcterms:created>
  <dcterms:modified xsi:type="dcterms:W3CDTF">2026-02-02T10:56:35Z</dcterms:modified>
  <cp:category/>
  <cp:contentStatus/>
</cp:coreProperties>
</file>